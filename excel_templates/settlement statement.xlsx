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30" windowHeight="12135"/>
  </bookViews>
  <sheets>
    <sheet name="结算单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<sst xmlns="http://schemas.openxmlformats.org/spreadsheetml/2006/main" count="49" uniqueCount="47">
  <si>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{{title}}结算单</t>
  </si>
  <si>
    <t>委托单位</t>
  </si>
  <si>
    <t>{{Proxy_client}}</t>
  </si>
  <si>
    <t xml:space="preserve">协议号    </t>
  </si>
  <si>
    <t>{{Contract_No}}</t>
  </si>
  <si>
    <t>日期</t>
  </si>
  <si>
    <t>进口商品名称</t>
  </si>
  <si>
    <t>{{commodity}}</t>
  </si>
  <si>
    <t>进口许可证名称、编号：</t>
  </si>
  <si>
    <t>进口国别</t>
  </si>
  <si>
    <t>{{importing_country}}</t>
  </si>
  <si>
    <t>{{terms}}{{port_of_destination}}</t>
  </si>
  <si>
    <t>起运港</t>
  </si>
  <si>
    <t>{{importing_country}}港口</t>
  </si>
  <si>
    <t>{{port_of_destination}}</t>
  </si>
  <si>
    <t>核销单编号</t>
  </si>
  <si>
    <t>预计到货数量</t>
  </si>
  <si>
    <r>
      <rPr>
        <sz val="12"/>
        <rFont val="Times New Roman"/>
        <charset val="134"/>
      </rPr>
      <t>{{quantity}}</t>
    </r>
    <r>
      <rPr>
        <sz val="12"/>
        <rFont val="宋体"/>
        <charset val="134"/>
      </rPr>
      <t>吨</t>
    </r>
  </si>
  <si>
    <t>报关单编号</t>
  </si>
  <si>
    <t>预计到货金额</t>
  </si>
  <si>
    <t>{{Payment_method}}</t>
  </si>
  <si>
    <t>收入款项明细</t>
  </si>
  <si>
    <t>结算项目</t>
  </si>
  <si>
    <t>人民币金额</t>
  </si>
  <si>
    <r>
      <rPr>
        <sz val="10"/>
        <rFont val="Times New Roman"/>
        <charset val="134"/>
      </rPr>
      <t>0711</t>
    </r>
    <r>
      <rPr>
        <sz val="10"/>
        <rFont val="宋体"/>
        <charset val="134"/>
      </rPr>
      <t>保证金</t>
    </r>
  </si>
  <si>
    <t>天数</t>
  </si>
  <si>
    <t>垫税利息</t>
  </si>
  <si>
    <t>付汇金额${{unit_price}}*{{quantity}}</t>
  </si>
  <si>
    <t>销售费用$1530</t>
  </si>
  <si>
    <t>代理进口手续费
（含税6.85）</t>
  </si>
  <si>
    <t>利息
(含税6.85%)</t>
  </si>
  <si>
    <t>银行财务费</t>
  </si>
  <si>
    <t>新合计</t>
  </si>
  <si>
    <t>合计</t>
  </si>
  <si>
    <t>支出款项明细</t>
  </si>
  <si>
    <t>增值税发票金额</t>
  </si>
  <si>
    <t>备注</t>
  </si>
  <si>
    <t>0922@6.765368</t>
  </si>
  <si>
    <t>代理费：</t>
  </si>
  <si>
    <t>卡塔尔一单付汇加110元和100美金(银行财务费)</t>
  </si>
  <si>
    <t>银行财务费：</t>
  </si>
  <si>
    <t>利息：</t>
  </si>
  <si>
    <t xml:space="preserve"> </t>
  </si>
  <si>
    <t>开代理费增值税发票：</t>
  </si>
  <si>
    <t>经办人</t>
  </si>
  <si>
    <t>财务部审核</t>
  </si>
  <si>
    <t>复核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</si>
</sst>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#,##0.00_ "/>
    <numFmt numFmtId="178" formatCode="0.00_);[Red]\(0.00\)"/>
    <numFmt numFmtId="179" formatCode="0.00_ "/>
    <numFmt numFmtId="180" formatCode="#,##0.0000_ "/>
    <numFmt numFmtId="181" formatCode="#,##0.000000_ "/>
    <numFmt numFmtId="182" formatCode="\¥#,##0.00_);[Red]\(\¥#,##0.00\)"/>
  </numFmts>
  <fonts count="36">
    <font>
      <sz val="12"/>
      <name val="宋体"/>
      <charset val="134"/>
    </font>
    <font>
      <b/>
      <sz val="16"/>
      <name val="Times New Roman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0"/>
      <name val="Times New Roman"/>
      <charset val="134"/>
    </font>
    <font>
      <b/>
      <sz val="10"/>
      <name val="宋体"/>
      <charset val="134"/>
    </font>
    <font>
      <sz val="9"/>
      <name val="宋体"/>
      <charset val="134"/>
    </font>
    <font>
      <sz val="12"/>
      <name val="Times New Roman"/>
      <charset val="134"/>
    </font>
    <font>
      <b/>
      <sz val="12"/>
      <color indexed="10"/>
      <name val="宋体"/>
      <charset val="134"/>
    </font>
    <font>
      <sz val="10"/>
      <name val="宋体"/>
      <charset val="134"/>
    </font>
    <font>
      <b/>
      <sz val="12"/>
      <name val="Times New Roman"/>
      <charset val="134"/>
    </font>
    <font>
      <sz val="10"/>
      <color rgb="FFFF0000"/>
      <name val="宋体"/>
      <charset val="134"/>
    </font>
    <font>
      <u/>
      <sz val="12"/>
      <color theme="10"/>
      <name val="宋体"/>
      <charset val="134"/>
    </font>
    <font>
      <u/>
      <sz val="12"/>
      <color indexed="12"/>
      <name val="宋体"/>
      <charset val="134"/>
    </font>
    <font>
      <sz val="10"/>
      <color rgb="FFFF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15" fillId="2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8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4" borderId="18" applyNumberFormat="0" applyAlignment="0" applyProtection="0">
      <alignment vertical="center"/>
    </xf>
    <xf numFmtId="0" fontId="26" fillId="5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35" fillId="6" borderId="0" applyNumberFormat="0" applyBorder="0" applyAlignment="0" applyProtection="0">
      <alignment vertical="center"/>
    </xf>
  </cellStyleXfs>
  <cellXfs count="101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0" fontId="5" fillId="0" borderId="0" xfId="0" applyFont="1" applyFill="1"/>
    <xf numFmtId="14" fontId="6" fillId="0" borderId="0" xfId="0" applyNumberFormat="1" applyFont="1" applyFill="1"/>
    <xf numFmtId="0" fontId="5" fillId="0" borderId="1" xfId="0" applyFont="1" applyFill="1" applyBorder="1"/>
    <xf numFmtId="0" fontId="0" fillId="0" borderId="2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horizontal="center" wrapText="1"/>
    </xf>
    <xf numFmtId="0" fontId="3" fillId="0" borderId="2" xfId="0" applyFont="1" applyFill="1" applyBorder="1" applyAlignment="1"/>
    <xf numFmtId="0" fontId="3" fillId="0" borderId="4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5" xfId="0" applyFill="1" applyBorder="1"/>
    <xf numFmtId="0" fontId="0" fillId="0" borderId="3" xfId="0" applyFill="1" applyBorder="1" applyAlignment="1"/>
    <xf numFmtId="0" fontId="7" fillId="0" borderId="1" xfId="0" applyFont="1" applyFill="1" applyBorder="1"/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0" fillId="0" borderId="1" xfId="0" applyFill="1" applyBorder="1"/>
    <xf numFmtId="0" fontId="3" fillId="0" borderId="3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176" fontId="7" fillId="0" borderId="1" xfId="0" applyNumberFormat="1" applyFont="1" applyFill="1" applyBorder="1"/>
    <xf numFmtId="177" fontId="7" fillId="0" borderId="1" xfId="0" applyNumberFormat="1" applyFont="1" applyFill="1" applyBorder="1"/>
    <xf numFmtId="0" fontId="5" fillId="0" borderId="6" xfId="0" applyFont="1" applyFill="1" applyBorder="1"/>
    <xf numFmtId="176" fontId="7" fillId="0" borderId="6" xfId="0" applyNumberFormat="1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49" fontId="4" fillId="0" borderId="7" xfId="0" applyNumberFormat="1" applyFont="1" applyFill="1" applyBorder="1"/>
    <xf numFmtId="4" fontId="9" fillId="0" borderId="0" xfId="0" applyNumberFormat="1" applyFont="1" applyFill="1" applyBorder="1"/>
    <xf numFmtId="0" fontId="9" fillId="0" borderId="0" xfId="0" applyFont="1" applyFill="1" applyBorder="1"/>
    <xf numFmtId="0" fontId="5" fillId="0" borderId="8" xfId="0" applyFont="1" applyFill="1" applyBorder="1"/>
    <xf numFmtId="178" fontId="3" fillId="0" borderId="2" xfId="0" applyNumberFormat="1" applyFont="1" applyFill="1" applyBorder="1" applyAlignment="1">
      <alignment horizontal="center"/>
    </xf>
    <xf numFmtId="178" fontId="3" fillId="0" borderId="3" xfId="0" applyNumberFormat="1" applyFont="1" applyFill="1" applyBorder="1" applyAlignment="1">
      <alignment horizontal="center"/>
    </xf>
    <xf numFmtId="178" fontId="3" fillId="0" borderId="4" xfId="0" applyNumberFormat="1" applyFont="1" applyFill="1" applyBorder="1" applyAlignment="1">
      <alignment horizontal="center"/>
    </xf>
    <xf numFmtId="14" fontId="3" fillId="0" borderId="0" xfId="0" applyNumberFormat="1" applyFont="1"/>
    <xf numFmtId="49" fontId="4" fillId="0" borderId="8" xfId="0" applyNumberFormat="1" applyFont="1" applyFill="1" applyBorder="1"/>
    <xf numFmtId="179" fontId="9" fillId="0" borderId="0" xfId="0" applyNumberFormat="1" applyFont="1" applyFill="1" applyBorder="1"/>
    <xf numFmtId="180" fontId="3" fillId="0" borderId="1" xfId="0" applyNumberFormat="1" applyFont="1" applyFill="1" applyBorder="1"/>
    <xf numFmtId="181" fontId="10" fillId="0" borderId="1" xfId="0" applyNumberFormat="1" applyFont="1" applyFill="1" applyBorder="1" applyAlignment="1">
      <alignment horizontal="left"/>
    </xf>
    <xf numFmtId="178" fontId="3" fillId="0" borderId="0" xfId="0" applyNumberFormat="1" applyFont="1"/>
    <xf numFmtId="181" fontId="10" fillId="0" borderId="2" xfId="0" applyNumberFormat="1" applyFont="1" applyFill="1" applyBorder="1" applyAlignment="1">
      <alignment horizontal="center"/>
    </xf>
    <xf numFmtId="181" fontId="10" fillId="0" borderId="3" xfId="0" applyNumberFormat="1" applyFont="1" applyFill="1" applyBorder="1" applyAlignment="1">
      <alignment horizontal="center"/>
    </xf>
    <xf numFmtId="181" fontId="10" fillId="0" borderId="4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179" fontId="3" fillId="0" borderId="2" xfId="0" applyNumberFormat="1" applyFont="1" applyFill="1" applyBorder="1" applyAlignment="1">
      <alignment horizontal="center"/>
    </xf>
    <xf numFmtId="179" fontId="3" fillId="0" borderId="3" xfId="0" applyNumberFormat="1" applyFont="1" applyFill="1" applyBorder="1" applyAlignment="1">
      <alignment horizontal="center"/>
    </xf>
    <xf numFmtId="179" fontId="3" fillId="0" borderId="4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wrapText="1"/>
    </xf>
    <xf numFmtId="0" fontId="9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/>
    <xf numFmtId="49" fontId="9" fillId="0" borderId="8" xfId="0" applyNumberFormat="1" applyFont="1" applyFill="1" applyBorder="1"/>
    <xf numFmtId="4" fontId="11" fillId="0" borderId="0" xfId="0" applyNumberFormat="1" applyFont="1" applyFill="1" applyBorder="1"/>
    <xf numFmtId="0" fontId="3" fillId="0" borderId="0" xfId="0" applyFont="1"/>
    <xf numFmtId="182" fontId="3" fillId="0" borderId="0" xfId="0" applyNumberFormat="1" applyFont="1"/>
    <xf numFmtId="0" fontId="3" fillId="0" borderId="9" xfId="0" applyFont="1" applyFill="1" applyBorder="1"/>
    <xf numFmtId="0" fontId="9" fillId="0" borderId="8" xfId="0" applyFont="1" applyFill="1" applyBorder="1"/>
    <xf numFmtId="178" fontId="9" fillId="0" borderId="0" xfId="0" applyNumberFormat="1" applyFont="1" applyFill="1" applyBorder="1"/>
    <xf numFmtId="179" fontId="9" fillId="0" borderId="9" xfId="0" applyNumberFormat="1" applyFont="1" applyFill="1" applyBorder="1"/>
    <xf numFmtId="182" fontId="10" fillId="0" borderId="2" xfId="0" applyNumberFormat="1" applyFont="1" applyFill="1" applyBorder="1" applyAlignment="1">
      <alignment horizontal="center"/>
    </xf>
    <xf numFmtId="182" fontId="10" fillId="0" borderId="3" xfId="0" applyNumberFormat="1" applyFont="1" applyFill="1" applyBorder="1" applyAlignment="1">
      <alignment horizontal="center"/>
    </xf>
    <xf numFmtId="182" fontId="10" fillId="0" borderId="4" xfId="0" applyNumberFormat="1" applyFont="1" applyFill="1" applyBorder="1" applyAlignment="1">
      <alignment horizontal="center"/>
    </xf>
    <xf numFmtId="0" fontId="9" fillId="0" borderId="9" xfId="0" applyFont="1" applyFill="1" applyBorder="1"/>
    <xf numFmtId="0" fontId="3" fillId="0" borderId="7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2" fillId="0" borderId="0" xfId="6" applyFont="1" applyFill="1" applyAlignment="1" applyProtection="1"/>
    <xf numFmtId="178" fontId="9" fillId="0" borderId="9" xfId="0" applyNumberFormat="1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179" fontId="3" fillId="0" borderId="0" xfId="0" applyNumberFormat="1" applyFont="1" applyFill="1" applyBorder="1" applyAlignment="1">
      <alignment horizontal="center"/>
    </xf>
    <xf numFmtId="179" fontId="3" fillId="0" borderId="9" xfId="0" applyNumberFormat="1" applyFont="1" applyFill="1" applyBorder="1" applyAlignment="1">
      <alignment horizontal="center"/>
    </xf>
    <xf numFmtId="49" fontId="13" fillId="0" borderId="8" xfId="62" applyNumberFormat="1" applyFill="1" applyBorder="1" applyAlignment="1" applyProtection="1"/>
    <xf numFmtId="178" fontId="9" fillId="0" borderId="9" xfId="0" applyNumberFormat="1" applyFont="1" applyFill="1" applyBorder="1"/>
    <xf numFmtId="0" fontId="3" fillId="0" borderId="8" xfId="0" applyFont="1" applyFill="1" applyBorder="1"/>
    <xf numFmtId="49" fontId="14" fillId="0" borderId="8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49" fontId="9" fillId="0" borderId="8" xfId="0" applyNumberFormat="1" applyFont="1" applyFill="1" applyBorder="1" applyAlignment="1">
      <alignment horizontal="right"/>
    </xf>
    <xf numFmtId="0" fontId="3" fillId="0" borderId="12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0922@6.765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K44"/>
  <sheetViews>
    <sheetView tabSelected="1" zoomScale="85" zoomScaleNormal="85" workbookViewId="0">
      <selection activeCell="F3" sqref="F3"/>
    </sheetView>
  </sheetViews>
  <sheetFormatPr defaultColWidth="9" defaultRowHeight="14.25"/>
  <cols>
    <col min="1" max="1" width="11.25" customWidth="1"/>
    <col min="2" max="2" width="10.875" customWidth="1"/>
    <col min="3" max="3" width="3.625" customWidth="1"/>
    <col min="4" max="4" width="10.5" customWidth="1"/>
    <col min="5" max="5" width="21.5" customWidth="1"/>
    <col min="6" max="6" width="10.25" customWidth="1"/>
    <col min="7" max="7" width="4.375" customWidth="1"/>
    <col min="8" max="8" width="9.25" customWidth="1"/>
    <col min="10" max="10" width="14.5" customWidth="1"/>
  </cols>
  <sheetData>
    <row r="1" ht="20.25" spans="1:11">
      <c r="A1" s="1"/>
      <c r="B1" s="2"/>
      <c r="C1" s="3"/>
      <c r="D1" s="4" t="s">
        <v>0</v>
      </c>
      <c r="E1" s="1"/>
      <c r="F1" s="1"/>
      <c r="G1" s="1"/>
      <c r="H1" s="1"/>
    </row>
    <row r="2" spans="1:11">
      <c r="A2" s="1"/>
      <c r="B2" s="1"/>
      <c r="C2" s="1"/>
      <c r="D2" s="1"/>
      <c r="E2" s="1"/>
      <c r="F2" s="1"/>
      <c r="G2" s="1"/>
      <c r="H2" s="1"/>
    </row>
    <row r="3" spans="1:11">
      <c r="A3" s="5" t="s">
        <v>1</v>
      </c>
      <c r="B3" s="6" t="s">
        <v>2</v>
      </c>
      <c r="C3" s="7"/>
      <c r="D3" s="7"/>
      <c r="E3" s="8" t="s">
        <v>3</v>
      </c>
      <c r="F3" s="9" t="s">
        <v>4</v>
      </c>
      <c r="G3" s="10" t="s">
        <v>5</v>
      </c>
      <c r="H3" s="11">
        <f ca="1">TODAY()</f>
        <v>46100</v>
      </c>
    </row>
    <row r="4" spans="1:11">
      <c r="A4" s="1"/>
      <c r="B4" s="1"/>
      <c r="C4" s="1"/>
      <c r="D4" s="1"/>
      <c r="E4" s="1"/>
      <c r="F4" s="1"/>
      <c r="G4" s="1"/>
      <c r="H4" s="1"/>
    </row>
    <row r="5" spans="1:11">
      <c r="A5" s="12" t="s">
        <v>6</v>
      </c>
      <c r="B5" s="13" t="s">
        <v>7</v>
      </c>
      <c r="C5" s="14"/>
      <c r="D5" s="14"/>
      <c r="E5" s="15" t="s">
        <v>8</v>
      </c>
      <c r="F5" s="16"/>
      <c r="G5" s="17"/>
      <c r="H5" s="18"/>
    </row>
    <row r="6" ht="15.75" spans="1:11">
      <c r="A6" s="12" t="s">
        <v>9</v>
      </c>
      <c r="B6" s="19" t="s">
        <v>10</v>
      </c>
      <c r="C6" s="20"/>
      <c r="D6" s="21"/>
      <c r="E6" s="22" t="s">
        <v>11</v>
      </c>
      <c r="F6" s="23"/>
      <c r="G6" s="24"/>
      <c r="H6" s="25"/>
    </row>
    <row r="7" spans="1:11">
      <c r="A7" s="12" t="s">
        <v>12</v>
      </c>
      <c r="B7" s="19" t="s">
        <v>13</v>
      </c>
      <c r="C7" s="26"/>
      <c r="D7" s="21"/>
      <c r="E7" s="19" t="s">
        <v>14</v>
      </c>
      <c r="F7" s="17" t="s">
        <v>15</v>
      </c>
      <c r="G7" s="27"/>
      <c r="H7" s="18"/>
      <c r="J7" s="28"/>
    </row>
    <row r="8" ht="15.75" spans="1:11">
      <c r="A8" s="12" t="s">
        <v>16</v>
      </c>
      <c r="B8" s="29" t="s">
        <v>17</v>
      </c>
      <c r="C8" s="30"/>
      <c r="D8" s="21"/>
      <c r="E8" s="29" t="s">
        <v>17</v>
      </c>
      <c r="F8" s="17" t="s">
        <v>18</v>
      </c>
      <c r="G8" s="27"/>
      <c r="H8" s="18"/>
    </row>
    <row r="9" ht="15.75" spans="1:11">
      <c r="A9" s="31" t="s">
        <v>19</v>
      </c>
      <c r="B9" s="29"/>
      <c r="C9" s="32"/>
      <c r="D9" s="21"/>
      <c r="E9" s="29"/>
      <c r="F9" s="17" t="s">
        <v>20</v>
      </c>
      <c r="G9" s="27"/>
      <c r="H9" s="18"/>
    </row>
    <row r="10" spans="1:11">
      <c r="A10" s="17" t="s">
        <v>21</v>
      </c>
      <c r="B10" s="27"/>
      <c r="C10" s="27"/>
      <c r="D10" s="27"/>
      <c r="E10" s="33" t="s">
        <v>22</v>
      </c>
      <c r="F10" s="34" t="s">
        <v>23</v>
      </c>
      <c r="G10" s="34"/>
      <c r="H10" s="34"/>
    </row>
    <row r="11" spans="1:11">
      <c r="A11" s="35" t="s">
        <v>24</v>
      </c>
      <c r="B11" s="36">
        <v>207900</v>
      </c>
      <c r="C11" s="37" t="s">
        <v>25</v>
      </c>
      <c r="D11" s="37" t="s">
        <v>26</v>
      </c>
      <c r="E11" s="38" t="s">
        <v>27</v>
      </c>
      <c r="F11" s="39">
        <f>205020*E13</f>
        <v>1387035.74736</v>
      </c>
      <c r="G11" s="40"/>
      <c r="H11" s="41"/>
      <c r="J11" s="42"/>
    </row>
    <row r="12" spans="1:11">
      <c r="A12" s="43"/>
      <c r="B12" s="36"/>
      <c r="C12" s="37"/>
      <c r="D12" s="44"/>
      <c r="E12" s="45" t="s">
        <v>28</v>
      </c>
      <c r="F12" s="39">
        <f>1530*E13-0.01</f>
        <v>10351.00304</v>
      </c>
      <c r="G12" s="40"/>
      <c r="H12" s="41"/>
      <c r="K12" s="42"/>
    </row>
    <row r="13" ht="15.75" spans="1:11">
      <c r="A13" s="43"/>
      <c r="B13" s="36"/>
      <c r="C13" s="37"/>
      <c r="D13" s="44"/>
      <c r="E13" s="46">
        <v>6.765368</v>
      </c>
      <c r="F13" s="39"/>
      <c r="G13" s="40"/>
      <c r="H13" s="41"/>
      <c r="J13" s="47"/>
      <c r="K13" s="42"/>
    </row>
    <row r="14" ht="15.75" spans="1:11">
      <c r="A14" s="43"/>
      <c r="B14" s="36"/>
      <c r="C14" s="37"/>
      <c r="D14" s="44"/>
      <c r="E14" s="46"/>
      <c r="F14" s="48"/>
      <c r="G14" s="49"/>
      <c r="H14" s="50"/>
    </row>
    <row r="15" spans="1:11">
      <c r="A15" s="43"/>
      <c r="B15" s="36"/>
      <c r="C15" s="37"/>
      <c r="D15" s="44"/>
      <c r="E15" s="33"/>
      <c r="F15" s="17"/>
      <c r="G15" s="27"/>
      <c r="H15" s="18"/>
    </row>
    <row r="16" ht="24" spans="1:11">
      <c r="A16" s="43"/>
      <c r="B16" s="36"/>
      <c r="C16" s="37"/>
      <c r="D16" s="37"/>
      <c r="E16" s="51" t="s">
        <v>29</v>
      </c>
      <c r="F16" s="52">
        <f>F31</f>
        <v>8384.3205024</v>
      </c>
      <c r="G16" s="53"/>
      <c r="H16" s="54"/>
    </row>
    <row r="17" ht="28.5" spans="1:11">
      <c r="A17" s="43"/>
      <c r="B17" s="36"/>
      <c r="C17" s="37"/>
      <c r="D17" s="37"/>
      <c r="E17" s="55" t="s">
        <v>30</v>
      </c>
      <c r="F17" s="52">
        <f>F33*1.0685</f>
        <v>0</v>
      </c>
      <c r="G17" s="53"/>
      <c r="H17" s="54"/>
    </row>
    <row r="18" spans="1:11">
      <c r="A18" s="43"/>
      <c r="B18" s="36"/>
      <c r="C18" s="37"/>
      <c r="D18" s="37"/>
      <c r="E18" s="33" t="s">
        <v>31</v>
      </c>
      <c r="F18" s="52">
        <f>F32*1.0685+110</f>
        <v>4167.254775</v>
      </c>
      <c r="G18" s="53"/>
      <c r="H18" s="54"/>
      <c r="K18" s="47"/>
    </row>
    <row r="19" spans="1:11">
      <c r="A19" s="43"/>
      <c r="B19" s="36"/>
      <c r="C19" s="56"/>
      <c r="D19" s="1"/>
      <c r="E19" s="33"/>
      <c r="F19" s="17"/>
      <c r="G19" s="57"/>
      <c r="H19" s="58"/>
      <c r="J19" s="59"/>
    </row>
    <row r="20" spans="1:11">
      <c r="A20" s="43"/>
      <c r="B20" s="36"/>
      <c r="C20" s="37"/>
      <c r="D20" s="60"/>
      <c r="E20" s="33"/>
      <c r="F20" s="52"/>
      <c r="G20" s="53"/>
      <c r="H20" s="54"/>
      <c r="J20" s="47"/>
      <c r="K20" s="47"/>
    </row>
    <row r="21" spans="1:11">
      <c r="A21" s="61"/>
      <c r="B21" s="62"/>
      <c r="C21" s="37"/>
      <c r="D21" s="36"/>
      <c r="E21" s="33"/>
      <c r="F21" s="52"/>
      <c r="G21" s="53"/>
      <c r="H21" s="54"/>
      <c r="I21" s="63"/>
      <c r="J21" s="47"/>
      <c r="K21" s="47"/>
    </row>
    <row r="22" spans="1:11">
      <c r="A22" s="61"/>
      <c r="B22" s="36"/>
      <c r="C22" s="37"/>
      <c r="D22" s="36"/>
      <c r="E22" s="33"/>
      <c r="F22" s="52"/>
      <c r="G22" s="53"/>
      <c r="H22" s="54"/>
      <c r="I22" s="63"/>
      <c r="J22" s="47"/>
      <c r="K22" s="47"/>
    </row>
    <row r="23" spans="1:11">
      <c r="A23" s="61"/>
      <c r="B23" s="36"/>
      <c r="C23" s="37"/>
      <c r="D23" s="36"/>
      <c r="E23" s="33"/>
      <c r="F23" s="52"/>
      <c r="G23" s="53"/>
      <c r="H23" s="54"/>
      <c r="J23" s="64"/>
    </row>
    <row r="24" spans="1:11">
      <c r="A24" s="61"/>
      <c r="B24" s="36"/>
      <c r="C24" s="37"/>
      <c r="D24" s="36"/>
      <c r="E24" s="33"/>
      <c r="F24" s="52"/>
      <c r="G24" s="53"/>
      <c r="H24" s="54"/>
      <c r="I24" s="63"/>
      <c r="J24" s="64"/>
      <c r="K24" s="63"/>
    </row>
    <row r="25" spans="1:11">
      <c r="A25" s="61"/>
      <c r="B25" s="62"/>
      <c r="C25" s="37"/>
      <c r="D25" s="65"/>
      <c r="E25" s="33"/>
      <c r="F25" s="52"/>
      <c r="G25" s="53"/>
      <c r="H25" s="54"/>
      <c r="I25" s="63"/>
      <c r="J25" s="64"/>
      <c r="K25" s="63"/>
    </row>
    <row r="26" spans="1:11">
      <c r="A26" s="61"/>
      <c r="B26" s="37"/>
      <c r="C26" s="37"/>
      <c r="D26" s="65"/>
      <c r="E26" s="33"/>
      <c r="F26" s="52"/>
      <c r="G26" s="53"/>
      <c r="H26" s="54"/>
      <c r="I26" s="63"/>
      <c r="J26" s="64"/>
      <c r="K26" s="63"/>
    </row>
    <row r="27" spans="1:11">
      <c r="A27" s="61"/>
      <c r="B27" s="37"/>
      <c r="C27" s="37"/>
      <c r="D27" s="65"/>
      <c r="E27" s="33"/>
      <c r="F27" s="52"/>
      <c r="G27" s="53"/>
      <c r="H27" s="54"/>
      <c r="I27" s="63"/>
      <c r="J27" s="64"/>
      <c r="K27" s="63"/>
    </row>
    <row r="28" ht="15.75" spans="1:11">
      <c r="A28" s="66" t="s">
        <v>32</v>
      </c>
      <c r="B28" s="67">
        <f>SUM(B11:B27)</f>
        <v>207900</v>
      </c>
      <c r="C28" s="67"/>
      <c r="D28" s="68">
        <f>SUM(D12:D27)</f>
        <v>0</v>
      </c>
      <c r="E28" s="33" t="s">
        <v>33</v>
      </c>
      <c r="F28" s="69">
        <f>SUM(F11:H26)</f>
        <v>1409938.3256774</v>
      </c>
      <c r="G28" s="70"/>
      <c r="H28" s="71"/>
      <c r="I28" s="63"/>
      <c r="J28" s="63"/>
      <c r="K28" s="63"/>
    </row>
    <row r="29" spans="1:11">
      <c r="A29" s="17" t="s">
        <v>34</v>
      </c>
      <c r="B29" s="27"/>
      <c r="C29" s="27"/>
      <c r="D29" s="18"/>
      <c r="E29" s="34" t="s">
        <v>35</v>
      </c>
      <c r="F29" s="52">
        <f>F16+F17+F18</f>
        <v>12551.5752774</v>
      </c>
      <c r="G29" s="53"/>
      <c r="H29" s="54"/>
      <c r="K29" s="47"/>
    </row>
    <row r="30" spans="1:11">
      <c r="A30" s="43"/>
      <c r="B30" s="37"/>
      <c r="C30" s="37"/>
      <c r="D30" s="72"/>
      <c r="E30" s="73" t="s">
        <v>36</v>
      </c>
      <c r="F30" s="74"/>
      <c r="G30" s="74"/>
      <c r="H30" s="75"/>
    </row>
    <row r="31" spans="1:11">
      <c r="A31" s="76" t="s">
        <v>37</v>
      </c>
      <c r="B31" s="37"/>
      <c r="C31" s="37"/>
      <c r="D31" s="77">
        <f>F11+F12</f>
        <v>1397386.7504</v>
      </c>
      <c r="E31" s="78" t="s">
        <v>38</v>
      </c>
      <c r="F31" s="79">
        <f>D31*0.006</f>
        <v>8384.3205024</v>
      </c>
      <c r="G31" s="79"/>
      <c r="H31" s="80"/>
      <c r="J31" s="63" t="s">
        <v>39</v>
      </c>
    </row>
    <row r="32" spans="1:11">
      <c r="A32" s="81"/>
      <c r="B32" s="37"/>
      <c r="C32" s="37"/>
      <c r="D32" s="82"/>
      <c r="E32" s="83" t="s">
        <v>40</v>
      </c>
      <c r="F32" s="79">
        <v>3797.15</v>
      </c>
      <c r="G32" s="79"/>
      <c r="H32" s="80"/>
    </row>
    <row r="33" spans="1:8">
      <c r="A33" s="84"/>
      <c r="B33" s="37"/>
      <c r="C33" s="37"/>
      <c r="D33" s="65"/>
      <c r="E33" s="78" t="s">
        <v>41</v>
      </c>
      <c r="F33" s="79">
        <f>D28</f>
        <v>0</v>
      </c>
      <c r="G33" s="79"/>
      <c r="H33" s="80" t="s">
        <v>42</v>
      </c>
    </row>
    <row r="34" spans="1:8">
      <c r="A34" s="84"/>
      <c r="B34" s="37"/>
      <c r="C34" s="37"/>
      <c r="D34" s="65"/>
      <c r="E34" s="78"/>
      <c r="F34" s="1"/>
      <c r="G34" s="85"/>
      <c r="H34" s="86"/>
    </row>
    <row r="35" spans="1:8">
      <c r="A35" s="84"/>
      <c r="B35" s="37"/>
      <c r="C35" s="37"/>
      <c r="D35" s="65"/>
      <c r="E35" s="87" t="s">
        <v>43</v>
      </c>
      <c r="F35" s="85" t="s">
        <v>2</v>
      </c>
      <c r="G35" s="85"/>
      <c r="H35" s="86"/>
    </row>
    <row r="36" spans="1:8">
      <c r="A36" s="88"/>
      <c r="B36" s="67"/>
      <c r="C36" s="37"/>
      <c r="D36" s="60"/>
      <c r="E36" s="89"/>
      <c r="F36" s="85"/>
      <c r="G36" s="85"/>
      <c r="H36" s="86"/>
    </row>
    <row r="37" spans="1:8">
      <c r="A37" s="90" t="s">
        <v>44</v>
      </c>
      <c r="B37" s="91"/>
      <c r="C37" s="91"/>
      <c r="D37" s="92"/>
      <c r="E37" s="91" t="s">
        <v>45</v>
      </c>
      <c r="F37" s="91"/>
      <c r="G37" s="91"/>
      <c r="H37" s="92"/>
    </row>
    <row r="38" spans="1:8">
      <c r="A38" s="93"/>
      <c r="B38" s="94"/>
      <c r="C38" s="94"/>
      <c r="D38" s="95"/>
      <c r="E38" s="94"/>
      <c r="F38" s="94"/>
      <c r="G38" s="94"/>
      <c r="H38" s="95"/>
    </row>
    <row r="39" spans="1:8">
      <c r="A39" s="96"/>
      <c r="B39" s="59"/>
      <c r="C39" s="59"/>
      <c r="D39" s="97"/>
      <c r="E39" s="59"/>
      <c r="F39" s="59"/>
      <c r="G39" s="59"/>
      <c r="H39" s="97"/>
    </row>
    <row r="40" spans="1:8">
      <c r="A40" s="96"/>
      <c r="B40" s="59"/>
      <c r="C40" s="59"/>
      <c r="D40" s="97"/>
      <c r="E40" s="59"/>
      <c r="F40" s="59"/>
      <c r="G40" s="59"/>
      <c r="H40" s="97"/>
    </row>
    <row r="41" spans="1:8">
      <c r="A41" s="90" t="s">
        <v>46</v>
      </c>
      <c r="B41" s="91"/>
      <c r="C41" s="91"/>
      <c r="D41" s="92"/>
      <c r="E41" s="59"/>
      <c r="F41" s="59"/>
      <c r="G41" s="59"/>
      <c r="H41" s="97"/>
    </row>
    <row r="42" spans="1:8">
      <c r="A42" s="96"/>
      <c r="B42" s="59"/>
      <c r="C42" s="59"/>
      <c r="D42" s="97"/>
      <c r="E42" s="59"/>
      <c r="F42" s="59"/>
      <c r="G42" s="59"/>
      <c r="H42" s="97"/>
    </row>
    <row r="43" spans="1:8">
      <c r="A43" s="96"/>
      <c r="B43" s="59"/>
      <c r="C43" s="59"/>
      <c r="D43" s="97"/>
      <c r="E43" s="59"/>
      <c r="F43" s="59"/>
      <c r="G43" s="59"/>
      <c r="H43" s="97"/>
    </row>
    <row r="44" spans="1:8">
      <c r="A44" s="98"/>
      <c r="B44" s="99"/>
      <c r="C44" s="99"/>
      <c r="D44" s="100"/>
      <c r="E44" s="99"/>
      <c r="F44" s="99"/>
      <c r="G44" s="99"/>
      <c r="H44" s="100"/>
    </row>
  </sheetData>
  <mergeCells count="35">
    <mergeCell ref="B3:D3"/>
    <mergeCell ref="B5:D5"/>
    <mergeCell ref="E5:F5"/>
    <mergeCell ref="G5:H5"/>
    <mergeCell ref="F6:H6"/>
    <mergeCell ref="F7:H7"/>
    <mergeCell ref="F8:H8"/>
    <mergeCell ref="F9:H9"/>
    <mergeCell ref="A10:D10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8:H28"/>
    <mergeCell ref="A29:D29"/>
    <mergeCell ref="F29:H29"/>
    <mergeCell ref="F31:H31"/>
    <mergeCell ref="F32:H32"/>
    <mergeCell ref="F33:H33"/>
    <mergeCell ref="F35:H35"/>
    <mergeCell ref="A37:D37"/>
    <mergeCell ref="A41:D41"/>
  </mergeCells>
  <hyperlinks>
    <hyperlink ref="A31" r:id="rId1" display="0922@6.76536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结算单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2026-03-19T02:00:01Z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